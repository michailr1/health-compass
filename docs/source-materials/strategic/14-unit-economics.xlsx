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frastructure Costs" sheetId="2" state="visible" r:id="rId4"/>
    <sheet name="AI Costs" sheetId="3" state="visible" r:id="rId5"/>
    <sheet name="OCR Costs" sheetId="4" state="visible" r:id="rId6"/>
    <sheet name="Storage Costs" sheetId="5" state="visible" r:id="rId7"/>
    <sheet name="Per User Costs" sheetId="6" state="visible" r:id="rId8"/>
    <sheet name="Scenario Analysis" sheetId="7" state="visible" r:id="rId9"/>
    <sheet name="Break-even" sheetId="8" state="visible" r:id="rId10"/>
  </sheets>
  <definedNames>
    <definedName function="false" hidden="false" name="ai_cost_q" vbProcedure="false">Assumptions!$C$11</definedName>
    <definedName function="false" hidden="false" name="ai_q_paid" vbProcedure="false">Assumptions!$C$8</definedName>
    <definedName function="false" hidden="false" name="free_active" vbProcedure="false">Assumptions!$C$16</definedName>
    <definedName function="false" hidden="false" name="free_to_paid" vbProcedure="false">Assumptions!$C$4</definedName>
    <definedName function="false" hidden="false" name="infra_fixed" vbProcedure="false">Assumptions!$C$13</definedName>
    <definedName function="false" hidden="false" name="monthly_churn" vbProcedure="false">Assumptions!$C$6</definedName>
    <definedName function="false" hidden="false" name="ocr_cost_doc" vbProcedure="false">Assumptions!$C$10</definedName>
    <definedName function="false" hidden="false" name="ocr_docs_paid" vbProcedure="false">Assumptions!$C$7</definedName>
    <definedName function="false" hidden="false" name="paid_mix_personal" vbProcedure="false">Assumptions!$C$5</definedName>
    <definedName function="false" hidden="false" name="payment_fixed" vbProcedure="false">Assumptions!$C$15</definedName>
    <definedName function="false" hidden="false" name="payment_pct" vbProcedure="false">Assumptions!$C$14</definedName>
    <definedName function="false" hidden="false" name="price_family" vbProcedure="false">Assumptions!$C$3</definedName>
    <definedName function="false" hidden="false" name="price_personal" vbProcedure="false">Assumptions!$C$2</definedName>
    <definedName function="false" hidden="false" name="storage_cost_gb" vbProcedure="false">Assumptions!$C$12</definedName>
    <definedName function="false" hidden="false" name="storage_paid_gb" vbProcedure="false">Assumptions!$C$9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<sst xmlns="http://schemas.openxmlformats.org/spreadsheetml/2006/main" count="134" uniqueCount="104">
  <si>
    <t xml:space="preserve">Key</t>
  </si>
  <si>
    <t xml:space="preserve">Параметр</t>
  </si>
  <si>
    <t xml:space="preserve">Значение</t>
  </si>
  <si>
    <t xml:space="preserve">Ед.</t>
  </si>
  <si>
    <t xml:space="preserve">Источник/уверенность</t>
  </si>
  <si>
    <t xml:space="preserve">price_personal</t>
  </si>
  <si>
    <t xml:space="preserve">Цена Personal</t>
  </si>
  <si>
    <t xml:space="preserve">€/мес</t>
  </si>
  <si>
    <t xml:space="preserve">допущение — середина 6–8</t>
  </si>
  <si>
    <t xml:space="preserve">price_family</t>
  </si>
  <si>
    <t xml:space="preserve">Цена Family</t>
  </si>
  <si>
    <t xml:space="preserve">допущение</t>
  </si>
  <si>
    <t xml:space="preserve">free_to_paid</t>
  </si>
  <si>
    <t xml:space="preserve">Конверсия Free→Paid</t>
  </si>
  <si>
    <t xml:space="preserve">доля</t>
  </si>
  <si>
    <t xml:space="preserve">допущение (индустрия 2–5%)</t>
  </si>
  <si>
    <t xml:space="preserve">paid_mix_personal</t>
  </si>
  <si>
    <t xml:space="preserve">Доля Personal среди платных</t>
  </si>
  <si>
    <t xml:space="preserve">monthly_churn</t>
  </si>
  <si>
    <t xml:space="preserve">Месячный churn платных</t>
  </si>
  <si>
    <t xml:space="preserve">ocr_docs_paid</t>
  </si>
  <si>
    <t xml:space="preserve">OCR-док/платный/мес</t>
  </si>
  <si>
    <t xml:space="preserve">шт</t>
  </si>
  <si>
    <t xml:space="preserve">ai_q_paid</t>
  </si>
  <si>
    <t xml:space="preserve">AI-вопросов/платный/мес</t>
  </si>
  <si>
    <t xml:space="preserve">storage_paid_gb</t>
  </si>
  <si>
    <t xml:space="preserve">Хранилище/платный</t>
  </si>
  <si>
    <t xml:space="preserve">ГБ</t>
  </si>
  <si>
    <t xml:space="preserve">ocr_cost_doc</t>
  </si>
  <si>
    <t xml:space="preserve">Себестоимость OCR/док</t>
  </si>
  <si>
    <t xml:space="preserve">€</t>
  </si>
  <si>
    <t xml:space="preserve">Tesseract self-host: CPU-время</t>
  </si>
  <si>
    <t xml:space="preserve">ai_cost_q</t>
  </si>
  <si>
    <t xml:space="preserve">Себестоимость AI/вопрос</t>
  </si>
  <si>
    <t xml:space="preserve">допущение по токенам+embeddings</t>
  </si>
  <si>
    <t xml:space="preserve">storage_cost_gb</t>
  </si>
  <si>
    <t xml:space="preserve">Хранилище</t>
  </si>
  <si>
    <t xml:space="preserve">€/ГБ/мес</t>
  </si>
  <si>
    <t xml:space="preserve">класс S3-совместимого хранения</t>
  </si>
  <si>
    <t xml:space="preserve">infra_fixed</t>
  </si>
  <si>
    <t xml:space="preserve">Фиксированная инфра/мес</t>
  </si>
  <si>
    <t xml:space="preserve">VPS+бэкапы+мониторинг (funti.cc-класс)</t>
  </si>
  <si>
    <t xml:space="preserve">payment_pct</t>
  </si>
  <si>
    <t xml:space="preserve">Комиссия платежей</t>
  </si>
  <si>
    <t xml:space="preserve">эквайринг</t>
  </si>
  <si>
    <t xml:space="preserve">payment_fixed</t>
  </si>
  <si>
    <t xml:space="preserve">Фикс. комиссия/платёж</t>
  </si>
  <si>
    <t xml:space="preserve">free_active</t>
  </si>
  <si>
    <t xml:space="preserve">Активных Free (сценарий)</t>
  </si>
  <si>
    <t xml:space="preserve">чел</t>
  </si>
  <si>
    <t xml:space="preserve">вход сценария</t>
  </si>
  <si>
    <t xml:space="preserve">Статья</t>
  </si>
  <si>
    <t xml:space="preserve">Формула</t>
  </si>
  <si>
    <t xml:space="preserve">Фиксированная инфраструктура</t>
  </si>
  <si>
    <t xml:space="preserve">Примечание</t>
  </si>
  <si>
    <t xml:space="preserve">Масштабируется ступенчато, не линейно</t>
  </si>
  <si>
    <t xml:space="preserve">—</t>
  </si>
  <si>
    <t xml:space="preserve">Показатель</t>
  </si>
  <si>
    <t xml:space="preserve">AI-вопросов на платного/мес</t>
  </si>
  <si>
    <t xml:space="preserve">Себестоимость AI/вопрос (€)</t>
  </si>
  <si>
    <t xml:space="preserve">AI-затраты на платного/мес (€)</t>
  </si>
  <si>
    <t xml:space="preserve">ai_q_paid*ai_cost_q</t>
  </si>
  <si>
    <t xml:space="preserve">OCR-док на платного/мес</t>
  </si>
  <si>
    <t xml:space="preserve">Себестоимость OCR/док (€)</t>
  </si>
  <si>
    <t xml:space="preserve">OCR-затраты на платного/мес (€)</t>
  </si>
  <si>
    <t xml:space="preserve">ocr_docs_paid*ocr_cost_doc</t>
  </si>
  <si>
    <t xml:space="preserve">Хранилище на платного (ГБ)</t>
  </si>
  <si>
    <t xml:space="preserve">Стоимость хранения (€/ГБ/мес)</t>
  </si>
  <si>
    <t xml:space="preserve">Storage-затраты на платного/мес (€)</t>
  </si>
  <si>
    <t xml:space="preserve">storage_paid_gb*storage_cost_gb</t>
  </si>
  <si>
    <t xml:space="preserve">AI на платного</t>
  </si>
  <si>
    <t xml:space="preserve">'AI Costs'!C4</t>
  </si>
  <si>
    <t xml:space="preserve">OCR на платного</t>
  </si>
  <si>
    <t xml:space="preserve">'OCR Costs'!C4</t>
  </si>
  <si>
    <t xml:space="preserve">Storage на платного</t>
  </si>
  <si>
    <t xml:space="preserve">'Storage Costs'!C4</t>
  </si>
  <si>
    <t xml:space="preserve">Переменная себестоимость платного (COGS)</t>
  </si>
  <si>
    <t xml:space="preserve">сумма выше</t>
  </si>
  <si>
    <t xml:space="preserve">Средняя цена платного (blended)</t>
  </si>
  <si>
    <t xml:space="preserve">personal*mix+family*(1-mix)</t>
  </si>
  <si>
    <t xml:space="preserve">Комиссия платежа (€)</t>
  </si>
  <si>
    <t xml:space="preserve">price*pct+fixed</t>
  </si>
  <si>
    <t xml:space="preserve">Маржинальная прибыль с платного (€)</t>
  </si>
  <si>
    <t xml:space="preserve">цена - COGS - комиссия</t>
  </si>
  <si>
    <t xml:space="preserve">Валовая маржа платного (%)</t>
  </si>
  <si>
    <t xml:space="preserve">прибыль/цена</t>
  </si>
  <si>
    <t xml:space="preserve">Сценарий (Free MAU)</t>
  </si>
  <si>
    <t xml:space="preserve">Платных</t>
  </si>
  <si>
    <t xml:space="preserve">Выручка/мес €</t>
  </si>
  <si>
    <t xml:space="preserve">COGS/мес €</t>
  </si>
  <si>
    <t xml:space="preserve">Инфра €</t>
  </si>
  <si>
    <t xml:space="preserve">Прибыль/мес €</t>
  </si>
  <si>
    <t xml:space="preserve">Малый</t>
  </si>
  <si>
    <t xml:space="preserve">Средний</t>
  </si>
  <si>
    <t xml:space="preserve">Крупный</t>
  </si>
  <si>
    <t xml:space="preserve">Per User Costs!C8</t>
  </si>
  <si>
    <t xml:space="preserve">Фикс. инфра базовая (€/мес)</t>
  </si>
  <si>
    <t xml:space="preserve">Infrastructure Costs!C2</t>
  </si>
  <si>
    <t xml:space="preserve">Платных для покрытия базовой инфры</t>
  </si>
  <si>
    <t xml:space="preserve">infra/маржа</t>
  </si>
  <si>
    <t xml:space="preserve">Free для этого (при конверсии)</t>
  </si>
  <si>
    <t xml:space="preserve">платные/конверсия</t>
  </si>
  <si>
    <t xml:space="preserve">LTV платного (€)</t>
  </si>
  <si>
    <t xml:space="preserve">маржа/churn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</si>
</sst>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FFF3CD"/>
        <bgColor rgb="FFFFFFFF"/>
      </patternFill>
    </fill>
    <fill>
      <patternFill patternType="solid">
        <fgColor rgb="FFD1E7DD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7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3" t="n">
        <v>13</v>
      </c>
      <c r="D3" s="2" t="s">
        <v>7</v>
      </c>
      <c r="E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3" t="n">
        <v>0.04</v>
      </c>
      <c r="D4" s="2" t="s">
        <v>14</v>
      </c>
      <c r="E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3" t="n">
        <v>0.7</v>
      </c>
      <c r="D5" s="2" t="s">
        <v>14</v>
      </c>
      <c r="E5" s="2" t="s">
        <v>11</v>
      </c>
    </row>
    <row r="6" customFormat="false" ht="15" hidden="false" customHeight="false" outlineLevel="0" collapsed="false">
      <c r="A6" s="2" t="s">
        <v>18</v>
      </c>
      <c r="B6" s="2" t="s">
        <v>19</v>
      </c>
      <c r="C6" s="3" t="n">
        <v>0.03</v>
      </c>
      <c r="D6" s="2" t="s">
        <v>14</v>
      </c>
      <c r="E6" s="2" t="s">
        <v>11</v>
      </c>
    </row>
    <row r="7" customFormat="false" ht="15" hidden="false" customHeight="false" outlineLevel="0" collapsed="false">
      <c r="A7" s="2" t="s">
        <v>20</v>
      </c>
      <c r="B7" s="2" t="s">
        <v>21</v>
      </c>
      <c r="C7" s="3" t="n">
        <v>40</v>
      </c>
      <c r="D7" s="2" t="s">
        <v>22</v>
      </c>
      <c r="E7" s="2" t="s">
        <v>11</v>
      </c>
    </row>
    <row r="8" customFormat="false" ht="15" hidden="false" customHeight="false" outlineLevel="0" collapsed="false">
      <c r="A8" s="2" t="s">
        <v>23</v>
      </c>
      <c r="B8" s="2" t="s">
        <v>24</v>
      </c>
      <c r="C8" s="3" t="n">
        <v>120</v>
      </c>
      <c r="D8" s="2" t="s">
        <v>22</v>
      </c>
      <c r="E8" s="2" t="s">
        <v>11</v>
      </c>
    </row>
    <row r="9" customFormat="false" ht="15" hidden="false" customHeight="false" outlineLevel="0" collapsed="false">
      <c r="A9" s="2" t="s">
        <v>25</v>
      </c>
      <c r="B9" s="2" t="s">
        <v>26</v>
      </c>
      <c r="C9" s="3" t="n">
        <v>5</v>
      </c>
      <c r="D9" s="2" t="s">
        <v>27</v>
      </c>
      <c r="E9" s="2" t="s">
        <v>11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3" t="n">
        <v>0.004</v>
      </c>
      <c r="D10" s="2" t="s">
        <v>30</v>
      </c>
      <c r="E10" s="2" t="s">
        <v>31</v>
      </c>
    </row>
    <row r="11" customFormat="false" ht="23.85" hidden="false" customHeight="false" outlineLevel="0" collapsed="false">
      <c r="A11" s="2" t="s">
        <v>32</v>
      </c>
      <c r="B11" s="2" t="s">
        <v>33</v>
      </c>
      <c r="C11" s="3" t="n">
        <v>0.02</v>
      </c>
      <c r="D11" s="2" t="s">
        <v>30</v>
      </c>
      <c r="E11" s="2" t="s">
        <v>34</v>
      </c>
    </row>
    <row r="12" customFormat="false" ht="23.85" hidden="false" customHeight="false" outlineLevel="0" collapsed="false">
      <c r="A12" s="2" t="s">
        <v>35</v>
      </c>
      <c r="B12" s="2" t="s">
        <v>36</v>
      </c>
      <c r="C12" s="3" t="n">
        <v>0.023</v>
      </c>
      <c r="D12" s="2" t="s">
        <v>37</v>
      </c>
      <c r="E12" s="2" t="s">
        <v>38</v>
      </c>
    </row>
    <row r="13" customFormat="false" ht="23.85" hidden="false" customHeight="false" outlineLevel="0" collapsed="false">
      <c r="A13" s="2" t="s">
        <v>39</v>
      </c>
      <c r="B13" s="2" t="s">
        <v>40</v>
      </c>
      <c r="C13" s="3" t="n">
        <v>60</v>
      </c>
      <c r="D13" s="2" t="s">
        <v>30</v>
      </c>
      <c r="E13" s="2" t="s">
        <v>41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3" t="n">
        <v>0.029</v>
      </c>
      <c r="D14" s="2" t="s">
        <v>14</v>
      </c>
      <c r="E14" s="2" t="s">
        <v>44</v>
      </c>
    </row>
    <row r="15" customFormat="false" ht="15" hidden="false" customHeight="false" outlineLevel="0" collapsed="false">
      <c r="A15" s="2" t="s">
        <v>45</v>
      </c>
      <c r="B15" s="2" t="s">
        <v>46</v>
      </c>
      <c r="C15" s="3" t="n">
        <v>0.25</v>
      </c>
      <c r="D15" s="2" t="s">
        <v>30</v>
      </c>
      <c r="E15" s="2" t="s">
        <v>44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3" t="n">
        <v>1000</v>
      </c>
      <c r="D16" s="2" t="s">
        <v>49</v>
      </c>
      <c r="E16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51</v>
      </c>
      <c r="B1" s="1" t="s">
        <v>52</v>
      </c>
      <c r="C1" s="1" t="s">
        <v>7</v>
      </c>
    </row>
    <row r="2" customFormat="false" ht="15" hidden="false" customHeight="false" outlineLevel="0" collapsed="false">
      <c r="A2" s="2" t="s">
        <v>53</v>
      </c>
      <c r="B2" s="2" t="n">
        <f aca="false">infra_fixed</f>
        <v>60</v>
      </c>
      <c r="C2" s="2" t="n">
        <f aca="false">Assumptions!$C$13</f>
        <v>60</v>
      </c>
    </row>
    <row r="3" customFormat="false" ht="23.85" hidden="false" customHeight="false" outlineLevel="0" collapsed="false">
      <c r="A3" s="2" t="s">
        <v>54</v>
      </c>
      <c r="B3" s="2" t="s">
        <v>55</v>
      </c>
      <c r="C3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57</v>
      </c>
      <c r="B1" s="1" t="s">
        <v>52</v>
      </c>
      <c r="C1" s="1" t="s">
        <v>2</v>
      </c>
    </row>
    <row r="2" customFormat="false" ht="15" hidden="false" customHeight="false" outlineLevel="0" collapsed="false">
      <c r="A2" s="2" t="s">
        <v>58</v>
      </c>
      <c r="B2" s="2" t="n">
        <f aca="false">Assumptions!$C$8</f>
        <v>120</v>
      </c>
      <c r="C2" s="2" t="n">
        <f aca="false">Assumptions!$C$8</f>
        <v>120</v>
      </c>
    </row>
    <row r="3" customFormat="false" ht="15" hidden="false" customHeight="false" outlineLevel="0" collapsed="false">
      <c r="A3" s="2" t="s">
        <v>59</v>
      </c>
      <c r="B3" s="2" t="n">
        <f aca="false">Assumptions!$C$11</f>
        <v>0.02</v>
      </c>
      <c r="C3" s="2" t="n">
        <f aca="false">Assumptions!$C$11</f>
        <v>0.02</v>
      </c>
    </row>
    <row r="4" customFormat="false" ht="15" hidden="false" customHeight="false" outlineLevel="0" collapsed="false">
      <c r="A4" s="2" t="s">
        <v>60</v>
      </c>
      <c r="B4" s="2" t="s">
        <v>61</v>
      </c>
      <c r="C4" s="4" t="n">
        <f aca="false">Assumptions!$C$8*Assumptions!$C$11</f>
        <v>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57</v>
      </c>
      <c r="B1" s="1" t="s">
        <v>52</v>
      </c>
      <c r="C1" s="1" t="s">
        <v>2</v>
      </c>
    </row>
    <row r="2" customFormat="false" ht="15" hidden="false" customHeight="false" outlineLevel="0" collapsed="false">
      <c r="A2" s="2" t="s">
        <v>62</v>
      </c>
      <c r="B2" s="2" t="n">
        <f aca="false">Assumptions!$C$7</f>
        <v>40</v>
      </c>
      <c r="C2" s="2" t="n">
        <f aca="false">Assumptions!$C$7</f>
        <v>40</v>
      </c>
    </row>
    <row r="3" customFormat="false" ht="15" hidden="false" customHeight="false" outlineLevel="0" collapsed="false">
      <c r="A3" s="2" t="s">
        <v>63</v>
      </c>
      <c r="B3" s="2" t="n">
        <f aca="false">Assumptions!$C$10</f>
        <v>0.004</v>
      </c>
      <c r="C3" s="2" t="n">
        <f aca="false">Assumptions!$C$10</f>
        <v>0.004</v>
      </c>
    </row>
    <row r="4" customFormat="false" ht="15" hidden="false" customHeight="false" outlineLevel="0" collapsed="false">
      <c r="A4" s="2" t="s">
        <v>64</v>
      </c>
      <c r="B4" s="2" t="s">
        <v>65</v>
      </c>
      <c r="C4" s="4" t="n">
        <f aca="false">Assumptions!$C$7*Assumptions!$C$10</f>
        <v>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57</v>
      </c>
      <c r="B1" s="1" t="s">
        <v>52</v>
      </c>
      <c r="C1" s="1" t="s">
        <v>2</v>
      </c>
    </row>
    <row r="2" customFormat="false" ht="15" hidden="false" customHeight="false" outlineLevel="0" collapsed="false">
      <c r="A2" s="2" t="s">
        <v>66</v>
      </c>
      <c r="B2" s="2" t="n">
        <f aca="false">Assumptions!$C$9</f>
        <v>5</v>
      </c>
      <c r="C2" s="2" t="n">
        <f aca="false">Assumptions!$C$9</f>
        <v>5</v>
      </c>
    </row>
    <row r="3" customFormat="false" ht="15" hidden="false" customHeight="false" outlineLevel="0" collapsed="false">
      <c r="A3" s="2" t="s">
        <v>67</v>
      </c>
      <c r="B3" s="2" t="n">
        <f aca="false">Assumptions!$C$12</f>
        <v>0.023</v>
      </c>
      <c r="C3" s="2" t="n">
        <f aca="false">Assumptions!$C$12</f>
        <v>0.023</v>
      </c>
    </row>
    <row r="4" customFormat="false" ht="23.85" hidden="false" customHeight="false" outlineLevel="0" collapsed="false">
      <c r="A4" s="2" t="s">
        <v>68</v>
      </c>
      <c r="B4" s="2" t="s">
        <v>69</v>
      </c>
      <c r="C4" s="4" t="n">
        <f aca="false">Assumptions!$C$9*Assumptions!$C$12</f>
        <v>0.115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57</v>
      </c>
      <c r="B1" s="1" t="s">
        <v>52</v>
      </c>
      <c r="C1" s="1" t="s">
        <v>7</v>
      </c>
    </row>
    <row r="2" customFormat="false" ht="15" hidden="false" customHeight="false" outlineLevel="0" collapsed="false">
      <c r="A2" s="2" t="s">
        <v>70</v>
      </c>
      <c r="B2" s="2" t="s">
        <v>71</v>
      </c>
      <c r="C2" s="2" t="n">
        <f aca="false">'AI Costs'!C4</f>
        <v>2.4</v>
      </c>
    </row>
    <row r="3" customFormat="false" ht="15" hidden="false" customHeight="false" outlineLevel="0" collapsed="false">
      <c r="A3" s="2" t="s">
        <v>72</v>
      </c>
      <c r="B3" s="2" t="s">
        <v>73</v>
      </c>
      <c r="C3" s="2" t="n">
        <f aca="false">'OCR Costs'!C4</f>
        <v>0.16</v>
      </c>
    </row>
    <row r="4" customFormat="false" ht="15" hidden="false" customHeight="false" outlineLevel="0" collapsed="false">
      <c r="A4" s="2" t="s">
        <v>74</v>
      </c>
      <c r="B4" s="2" t="s">
        <v>75</v>
      </c>
      <c r="C4" s="2" t="n">
        <f aca="false">'Storage Costs'!C4</f>
        <v>0.115</v>
      </c>
    </row>
    <row r="5" customFormat="false" ht="23.85" hidden="false" customHeight="false" outlineLevel="0" collapsed="false">
      <c r="A5" s="2" t="s">
        <v>76</v>
      </c>
      <c r="B5" s="2" t="s">
        <v>77</v>
      </c>
      <c r="C5" s="4" t="n">
        <f aca="false">C2+C3+C4</f>
        <v>2.675</v>
      </c>
    </row>
    <row r="6" customFormat="false" ht="15" hidden="false" customHeight="false" outlineLevel="0" collapsed="false">
      <c r="A6" s="2" t="s">
        <v>78</v>
      </c>
      <c r="B6" s="2" t="s">
        <v>79</v>
      </c>
      <c r="C6" s="4" t="n">
        <f aca="false">Assumptions!$C$2*Assumptions!$C$5+Assumptions!$C$3*(1-Assumptions!$C$5)</f>
        <v>8.8</v>
      </c>
    </row>
    <row r="7" customFormat="false" ht="15" hidden="false" customHeight="false" outlineLevel="0" collapsed="false">
      <c r="A7" s="2" t="s">
        <v>80</v>
      </c>
      <c r="B7" s="2" t="s">
        <v>81</v>
      </c>
      <c r="C7" s="4" t="n">
        <f aca="false">C6*Assumptions!$C$14+Assumptions!$C$15</f>
        <v>0.5052</v>
      </c>
    </row>
    <row r="8" customFormat="false" ht="15" hidden="false" customHeight="false" outlineLevel="0" collapsed="false">
      <c r="A8" s="2" t="s">
        <v>82</v>
      </c>
      <c r="B8" s="2" t="s">
        <v>83</v>
      </c>
      <c r="C8" s="4" t="n">
        <f aca="false">C6-C5-C7</f>
        <v>5.6198</v>
      </c>
    </row>
    <row r="9" customFormat="false" ht="15" hidden="false" customHeight="false" outlineLevel="0" collapsed="false">
      <c r="A9" s="2" t="s">
        <v>84</v>
      </c>
      <c r="B9" s="2" t="s">
        <v>85</v>
      </c>
      <c r="C9" s="4" t="n">
        <f aca="false">C8/C6</f>
        <v>0.638613636363636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customFormat="false" ht="15" hidden="false" customHeight="false" outlineLevel="0" collapsed="false">
      <c r="A2" s="2" t="s">
        <v>92</v>
      </c>
      <c r="B2" s="2" t="n">
        <f aca="false">ROUND(1000*Assumptions!$C$4,0)</f>
        <v>40</v>
      </c>
      <c r="C2" s="4" t="n">
        <f aca="false">B2*'Per User Costs'!C6</f>
        <v>352</v>
      </c>
      <c r="D2" s="4" t="n">
        <f aca="false">B2*'Per User Costs'!C5</f>
        <v>107</v>
      </c>
      <c r="E2" s="4" t="n">
        <f aca="false">'Infrastructure Costs'!C2*MAX(1,ROUNDUP(B2/500,0))</f>
        <v>60</v>
      </c>
      <c r="F2" s="4" t="n">
        <f aca="false">C2-D2-E2</f>
        <v>185</v>
      </c>
    </row>
    <row r="3" customFormat="false" ht="15" hidden="false" customHeight="false" outlineLevel="0" collapsed="false">
      <c r="A3" s="2" t="s">
        <v>93</v>
      </c>
      <c r="B3" s="2" t="n">
        <f aca="false">ROUND(10000*Assumptions!$C$4,0)</f>
        <v>400</v>
      </c>
      <c r="C3" s="4" t="n">
        <f aca="false">B3*'Per User Costs'!C6</f>
        <v>3520</v>
      </c>
      <c r="D3" s="4" t="n">
        <f aca="false">B3*'Per User Costs'!C5</f>
        <v>1070</v>
      </c>
      <c r="E3" s="4" t="n">
        <f aca="false">'Infrastructure Costs'!C2*MAX(1,ROUNDUP(B3/500,0))</f>
        <v>60</v>
      </c>
      <c r="F3" s="4" t="n">
        <f aca="false">C3-D3-E3</f>
        <v>2390</v>
      </c>
    </row>
    <row r="4" customFormat="false" ht="15" hidden="false" customHeight="false" outlineLevel="0" collapsed="false">
      <c r="A4" s="2" t="s">
        <v>94</v>
      </c>
      <c r="B4" s="2" t="n">
        <f aca="false">ROUND(100000*Assumptions!$C$4,0)</f>
        <v>4000</v>
      </c>
      <c r="C4" s="4" t="n">
        <f aca="false">B4*'Per User Costs'!C6</f>
        <v>35200</v>
      </c>
      <c r="D4" s="4" t="n">
        <f aca="false">B4*'Per User Costs'!C5</f>
        <v>10700</v>
      </c>
      <c r="E4" s="4" t="n">
        <f aca="false">'Infrastructure Costs'!C2*MAX(1,ROUNDUP(B4/500,0))</f>
        <v>480</v>
      </c>
      <c r="F4" s="4" t="n">
        <f aca="false">C4-D4-E4</f>
        <v>24020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57</v>
      </c>
      <c r="B1" s="1" t="s">
        <v>52</v>
      </c>
      <c r="C1" s="1" t="s">
        <v>2</v>
      </c>
    </row>
    <row r="2" customFormat="false" ht="15" hidden="false" customHeight="false" outlineLevel="0" collapsed="false">
      <c r="A2" s="2" t="s">
        <v>82</v>
      </c>
      <c r="B2" s="2" t="s">
        <v>95</v>
      </c>
      <c r="C2" s="4" t="n">
        <f aca="false">'Per User Costs'!C8</f>
        <v>5.6198</v>
      </c>
    </row>
    <row r="3" customFormat="false" ht="15" hidden="false" customHeight="false" outlineLevel="0" collapsed="false">
      <c r="A3" s="2" t="s">
        <v>96</v>
      </c>
      <c r="B3" s="2" t="s">
        <v>97</v>
      </c>
      <c r="C3" s="4" t="n">
        <f aca="false">'Infrastructure Costs'!C2</f>
        <v>60</v>
      </c>
    </row>
    <row r="4" customFormat="false" ht="15" hidden="false" customHeight="false" outlineLevel="0" collapsed="false">
      <c r="A4" s="2" t="s">
        <v>98</v>
      </c>
      <c r="B4" s="2" t="s">
        <v>99</v>
      </c>
      <c r="C4" s="4" t="n">
        <f aca="false">ROUNDUP(C3/C2,0)</f>
        <v>11</v>
      </c>
    </row>
    <row r="5" customFormat="false" ht="15" hidden="false" customHeight="false" outlineLevel="0" collapsed="false">
      <c r="A5" s="2" t="s">
        <v>100</v>
      </c>
      <c r="B5" s="2" t="s">
        <v>101</v>
      </c>
      <c r="C5" s="4" t="n">
        <f aca="false">ROUNDUP(C4/Assumptions!$C$4,0)</f>
        <v>275</v>
      </c>
    </row>
    <row r="6" customFormat="false" ht="15" hidden="false" customHeight="false" outlineLevel="0" collapsed="false">
      <c r="A6" s="2" t="s">
        <v>102</v>
      </c>
      <c r="B6" s="2" t="s">
        <v>103</v>
      </c>
      <c r="C6" s="4" t="n">
        <f aca="false">C2/Assumptions!$C$6</f>
        <v>187.326666666667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2026-07-08T15:54:08Z</dcterms:created>
  <dc:creator>openpyxl</dc:creator>
  <dc:description/>
  <dc:language>en-US</dc:language>
  <cp:lastModifiedBy/>
  <dcterms:modified xsi:type="dcterms:W3CDTF">2026-07-08T15:54:08Z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